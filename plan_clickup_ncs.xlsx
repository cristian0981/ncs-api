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tallado" sheetId="1" state="visible" r:id="rId3"/>
    <sheet name="Resumen" sheetId="2" state="visible" r:id="rId4"/>
  </sheets>
  <definedNames>
    <definedName function="false" hidden="true" localSheetId="0" name="_xlnm._FilterDatabase" vbProcedure="false">'Plan detallado'!$A$1:$I$29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<sst xmlns="http://schemas.openxmlformats.org/spreadsheetml/2006/main" count="238" uniqueCount="113">
  <si>
    <t xml:space="preserve">Sprint</t>
  </si>
  <si>
    <t xml:space="preserve">Tarea</t>
  </si>
  <si>
    <t xml:space="preserve">Descripcion</t>
  </si>
  <si>
    <t xml:space="preserve">Estado</t>
  </si>
  <si>
    <t xml:space="preserve">Prioridad</t>
  </si>
  <si>
    <t xml:space="preserve">Estimado (h)</t>
  </si>
  <si>
    <t xml:space="preserve">Dia</t>
  </si>
  <si>
    <t xml:space="preserve">Etiquetas</t>
  </si>
  <si>
    <t xml:space="preserve">Depende de</t>
  </si>
  <si>
    <t xml:space="preserve">Semana 1 - Base, datos, login y cruce</t>
  </si>
  <si>
    <t xml:space="preserve">Inicializar proyecto Next.js</t>
  </si>
  <si>
    <t xml:space="preserve">Crear el proyecto Next.js con TypeScript y Tailwind; estructura de carpetas (app, db, lib, services, components).</t>
  </si>
  <si>
    <t xml:space="preserve">To Do</t>
  </si>
  <si>
    <t xml:space="preserve">High</t>
  </si>
  <si>
    <t xml:space="preserve">Dia 1</t>
  </si>
  <si>
    <t xml:space="preserve">setup,frontend</t>
  </si>
  <si>
    <t xml:space="preserve">Esquema de datos con Drizzle + migracion inicial</t>
  </si>
  <si>
    <t xml:space="preserve">Tablas en PostgreSQL con Drizzle: control_nc, contratistas, correos, bitacora. Primera migracion.</t>
  </si>
  <si>
    <t xml:space="preserve">Urgent</t>
  </si>
  <si>
    <t xml:space="preserve">setup,backend</t>
  </si>
  <si>
    <t xml:space="preserve">Iniciar tramite de permisos Microsoft Graph con TI</t>
  </si>
  <si>
    <t xml:space="preserve">Solicitar a TI el registro de app en Azure AD y permisos Mail.Read (puede tardar dias).</t>
  </si>
  <si>
    <t xml:space="preserve">externo,bloqueante</t>
  </si>
  <si>
    <t xml:space="preserve">Conseguir Excel consolidado + correos historicos</t>
  </si>
  <si>
    <t xml:space="preserve">Insumo del spike: el Excel real de NCs y 2-3 correos de notificacion historicos.</t>
  </si>
  <si>
    <t xml:space="preserve">Dia 2</t>
  </si>
  <si>
    <t xml:space="preserve">insumo,externo</t>
  </si>
  <si>
    <t xml:space="preserve">Spike del motor de cruce (llave unica)</t>
  </si>
  <si>
    <t xml:space="preserve">Probar la cadena de llaves (archivo soporte &gt; orden interventoria &gt; orden trabajo &gt; medidor) y medir % de aciertos.</t>
  </si>
  <si>
    <t xml:space="preserve">riesgo,cruce</t>
  </si>
  <si>
    <t xml:space="preserve">Configurar Better Auth (login + sesion)</t>
  </si>
  <si>
    <t xml:space="preserve">Inicio de sesion y manejo de sesiones, conectado a PostgreSQL.</t>
  </si>
  <si>
    <t xml:space="preserve">Dia 3</t>
  </si>
  <si>
    <t xml:space="preserve">auth</t>
  </si>
  <si>
    <t xml:space="preserve">Usuarios, roles y proteccion de rutas</t>
  </si>
  <si>
    <t xml:space="preserve">Roles supervisor / administrador. Proteger las pantallas segun rol.</t>
  </si>
  <si>
    <t xml:space="preserve">Obtener credenciales SQL Server (Formap)</t>
  </si>
  <si>
    <t xml:space="preserve">Insumo: usuario de solo lectura y cadena de conexion a la base de Formap.</t>
  </si>
  <si>
    <t xml:space="preserve">Dia 4</t>
  </si>
  <si>
    <t xml:space="preserve">Conector SQL Server + consulta de NCs</t>
  </si>
  <si>
    <t xml:space="preserve">Conexion de solo lectura a Formap (driver mssql) y consulta de registros con calificacion = NC.</t>
  </si>
  <si>
    <t xml:space="preserve">backend,sqlserver</t>
  </si>
  <si>
    <t xml:space="preserve">Capa de calidad / validacion de datos</t>
  </si>
  <si>
    <t xml:space="preserve">Normalizar campos clave y marcar registros incompletos o corruptos.</t>
  </si>
  <si>
    <t xml:space="preserve">Normal</t>
  </si>
  <si>
    <t xml:space="preserve">Dia 5</t>
  </si>
  <si>
    <t xml:space="preserve">backend,calidad</t>
  </si>
  <si>
    <t xml:space="preserve">Sincronizacion inicial a la base local</t>
  </si>
  <si>
    <t xml:space="preserve">Cargar las NCs de Formap a la base local y registrar la corrida en la bitacora.</t>
  </si>
  <si>
    <t xml:space="preserve">backend,sync</t>
  </si>
  <si>
    <t xml:space="preserve">Semana 2 - Tiempos, correo y bot</t>
  </si>
  <si>
    <t xml:space="preserve">Motor de tiempos (SLA)</t>
  </si>
  <si>
    <t xml:space="preserve">Dias habiles con festivos de Colombia; 8 para notificar y 5 para validar; semaforos.</t>
  </si>
  <si>
    <t xml:space="preserve">Dia 6</t>
  </si>
  <si>
    <t xml:space="preserve">backend,sla</t>
  </si>
  <si>
    <t xml:space="preserve">Servicios: estadisticas, alertas y detalle</t>
  </si>
  <si>
    <t xml:space="preserve">Consultas con Drizzle para tarjetas del semaforo, lista de alertas y detalle de NC.</t>
  </si>
  <si>
    <t xml:space="preserve">Dia 7</t>
  </si>
  <si>
    <t xml:space="preserve">backend</t>
  </si>
  <si>
    <t xml:space="preserve">Conexion a Outlook (Microsoft Graph)</t>
  </si>
  <si>
    <t xml:space="preserve">Autenticar con Graph y buscar correos enviados y adjuntos para verificar la notificacion.</t>
  </si>
  <si>
    <t xml:space="preserve">Dia 8</t>
  </si>
  <si>
    <t xml:space="preserve">correo,graph</t>
  </si>
  <si>
    <t xml:space="preserve">Estrategia de buzon bot en copia (CC)</t>
  </si>
  <si>
    <t xml:space="preserve">Buzon bot en copia de toda notificacion para no depender del destinatario que rota.</t>
  </si>
  <si>
    <t xml:space="preserve">Casos especiales de verificacion</t>
  </si>
  <si>
    <t xml:space="preserve">Cargue a SharePoint de Celsia y caso 'dicen 7 NCs pero hay 6 archivos'.</t>
  </si>
  <si>
    <t xml:space="preserve">Dia 9</t>
  </si>
  <si>
    <t xml:space="preserve">Cruzar adjunto con NC</t>
  </si>
  <si>
    <t xml:space="preserve">Aplicar la llave del spike para confirmar que el informe corresponde a la NC.</t>
  </si>
  <si>
    <t xml:space="preserve">cruce</t>
  </si>
  <si>
    <t xml:space="preserve">Worker del bot (bot.ts)</t>
  </si>
  <si>
    <t xml:space="preserve">Programa aparte que sincroniza, calcula tiempos y verifica correos; ejecutable por Task Scheduler.</t>
  </si>
  <si>
    <t xml:space="preserve">Dia 10</t>
  </si>
  <si>
    <t xml:space="preserve">backend,bot</t>
  </si>
  <si>
    <t xml:space="preserve">Reporte de conciliacion</t>
  </si>
  <si>
    <t xml:space="preserve">Salida que pide Celsia: por cada NC, si fue notificada, cuando, con que soporte y cuales faltan.</t>
  </si>
  <si>
    <t xml:space="preserve">reporte</t>
  </si>
  <si>
    <t xml:space="preserve">Semana 3 - UI, permisos y cierre</t>
  </si>
  <si>
    <t xml:space="preserve">Endpoints internos protegidos</t>
  </si>
  <si>
    <t xml:space="preserve">Rutas para stats, alertas, NC, contratistas y ejecutar auditoria, protegidas por login.</t>
  </si>
  <si>
    <t xml:space="preserve">Dia 11</t>
  </si>
  <si>
    <t xml:space="preserve">backend,api</t>
  </si>
  <si>
    <t xml:space="preserve">Tablero: tarjetas de semaforo</t>
  </si>
  <si>
    <t xml:space="preserve">Pintar las tarjetas con los conteos por color (verde/amarillo/rojo).</t>
  </si>
  <si>
    <t xml:space="preserve">Dia 12</t>
  </si>
  <si>
    <t xml:space="preserve">frontend,ui</t>
  </si>
  <si>
    <t xml:space="preserve">Tabla de alertas</t>
  </si>
  <si>
    <t xml:space="preserve">Lista de NCs criticas (rojo/amarillo) ordenadas por urgencia, con dias restantes y motivo.</t>
  </si>
  <si>
    <t xml:space="preserve">Administracion de contratistas y correos</t>
  </si>
  <si>
    <t xml:space="preserve">Pantalla para crear/editar contratistas y agregar sus correos.</t>
  </si>
  <si>
    <t xml:space="preserve">Dia 13</t>
  </si>
  <si>
    <t xml:space="preserve">Detalle de NC + boton Ejecutar auditoria</t>
  </si>
  <si>
    <t xml:space="preserve">Vista de una NC con su cruce y el boton para disparar la auditoria.</t>
  </si>
  <si>
    <t xml:space="preserve">Roles y permisos en la UI + pulido visual</t>
  </si>
  <si>
    <t xml:space="preserve">Que ve y hace un supervisor frente a un administrador; pulir la presentacion.</t>
  </si>
  <si>
    <t xml:space="preserve">Dia 14</t>
  </si>
  <si>
    <t xml:space="preserve">frontend,auth</t>
  </si>
  <si>
    <t xml:space="preserve">Manejo de errores y estados de carga</t>
  </si>
  <si>
    <t xml:space="preserve">Mensajes de error claros y pantallas de carga en toda la app.</t>
  </si>
  <si>
    <t xml:space="preserve">frontend</t>
  </si>
  <si>
    <t xml:space="preserve">Pruebas de principio a fin</t>
  </si>
  <si>
    <t xml:space="preserve">Probar con datos historicos reales que el cruce reproduce notificaciones conocidas.</t>
  </si>
  <si>
    <t xml:space="preserve">Dia 15</t>
  </si>
  <si>
    <t xml:space="preserve">qa</t>
  </si>
  <si>
    <t xml:space="preserve">Programar el bot diario</t>
  </si>
  <si>
    <t xml:space="preserve">Ejecucion automatica diaria del worker con el Task Scheduler de Windows.</t>
  </si>
  <si>
    <t xml:space="preserve">despliegue</t>
  </si>
  <si>
    <t xml:space="preserve">Resumen del plan de trabajo</t>
  </si>
  <si>
    <t xml:space="preserve">Tareas</t>
  </si>
  <si>
    <t xml:space="preserve">Horas estimadas</t>
  </si>
  <si>
    <t xml:space="preserve">TOTAL</t>
  </si>
  <si>
    <t xml:space="preserve">Por prioridad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</si>
</sst>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FFF2CC"/>
        <bgColor rgb="FFFCE5CD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4" t="n">
        <v>3</v>
      </c>
      <c r="G2" s="2" t="s">
        <v>14</v>
      </c>
      <c r="H2" s="2" t="s">
        <v>15</v>
      </c>
      <c r="I2" s="2"/>
    </row>
    <row r="3" customFormat="false" ht="23.85" hidden="false" customHeight="false" outlineLevel="0" collapsed="false">
      <c r="A3" s="2" t="s">
        <v>9</v>
      </c>
      <c r="B3" s="2" t="s">
        <v>16</v>
      </c>
      <c r="C3" s="2" t="s">
        <v>17</v>
      </c>
      <c r="D3" s="2" t="s">
        <v>12</v>
      </c>
      <c r="E3" s="5" t="s">
        <v>18</v>
      </c>
      <c r="F3" s="4" t="n">
        <v>4</v>
      </c>
      <c r="G3" s="2" t="s">
        <v>14</v>
      </c>
      <c r="H3" s="2" t="s">
        <v>19</v>
      </c>
      <c r="I3" s="2"/>
    </row>
    <row r="4" customFormat="false" ht="23.85" hidden="false" customHeight="false" outlineLevel="0" collapsed="false">
      <c r="A4" s="2" t="s">
        <v>9</v>
      </c>
      <c r="B4" s="2" t="s">
        <v>20</v>
      </c>
      <c r="C4" s="2" t="s">
        <v>21</v>
      </c>
      <c r="D4" s="2" t="s">
        <v>12</v>
      </c>
      <c r="E4" s="5" t="s">
        <v>18</v>
      </c>
      <c r="F4" s="4" t="n">
        <v>1</v>
      </c>
      <c r="G4" s="2" t="s">
        <v>14</v>
      </c>
      <c r="H4" s="2" t="s">
        <v>22</v>
      </c>
      <c r="I4" s="2"/>
    </row>
    <row r="5" customFormat="false" ht="23.85" hidden="false" customHeight="false" outlineLevel="0" collapsed="false">
      <c r="A5" s="2" t="s">
        <v>9</v>
      </c>
      <c r="B5" s="2" t="s">
        <v>23</v>
      </c>
      <c r="C5" s="2" t="s">
        <v>24</v>
      </c>
      <c r="D5" s="2" t="s">
        <v>12</v>
      </c>
      <c r="E5" s="5" t="s">
        <v>18</v>
      </c>
      <c r="F5" s="4" t="n">
        <v>1</v>
      </c>
      <c r="G5" s="2" t="s">
        <v>25</v>
      </c>
      <c r="H5" s="2" t="s">
        <v>26</v>
      </c>
      <c r="I5" s="2"/>
    </row>
    <row r="6" customFormat="false" ht="23.85" hidden="false" customHeight="false" outlineLevel="0" collapsed="false">
      <c r="A6" s="2" t="s">
        <v>9</v>
      </c>
      <c r="B6" s="2" t="s">
        <v>27</v>
      </c>
      <c r="C6" s="2" t="s">
        <v>28</v>
      </c>
      <c r="D6" s="2" t="s">
        <v>12</v>
      </c>
      <c r="E6" s="5" t="s">
        <v>18</v>
      </c>
      <c r="F6" s="4" t="n">
        <v>6</v>
      </c>
      <c r="G6" s="2" t="s">
        <v>25</v>
      </c>
      <c r="H6" s="2" t="s">
        <v>29</v>
      </c>
      <c r="I6" s="2" t="s">
        <v>23</v>
      </c>
    </row>
    <row r="7" customFormat="false" ht="15" hidden="false" customHeight="false" outlineLevel="0" collapsed="false">
      <c r="A7" s="2" t="s">
        <v>9</v>
      </c>
      <c r="B7" s="2" t="s">
        <v>30</v>
      </c>
      <c r="C7" s="2" t="s">
        <v>31</v>
      </c>
      <c r="D7" s="2" t="s">
        <v>12</v>
      </c>
      <c r="E7" s="3" t="s">
        <v>13</v>
      </c>
      <c r="F7" s="4" t="n">
        <v>4</v>
      </c>
      <c r="G7" s="2" t="s">
        <v>32</v>
      </c>
      <c r="H7" s="2" t="s">
        <v>33</v>
      </c>
      <c r="I7" s="2" t="s">
        <v>16</v>
      </c>
    </row>
    <row r="8" customFormat="false" ht="15" hidden="false" customHeight="false" outlineLevel="0" collapsed="false">
      <c r="A8" s="2" t="s">
        <v>9</v>
      </c>
      <c r="B8" s="2" t="s">
        <v>34</v>
      </c>
      <c r="C8" s="2" t="s">
        <v>35</v>
      </c>
      <c r="D8" s="2" t="s">
        <v>12</v>
      </c>
      <c r="E8" s="3" t="s">
        <v>13</v>
      </c>
      <c r="F8" s="4" t="n">
        <v>3</v>
      </c>
      <c r="G8" s="2" t="s">
        <v>32</v>
      </c>
      <c r="H8" s="2" t="s">
        <v>33</v>
      </c>
      <c r="I8" s="2" t="s">
        <v>30</v>
      </c>
    </row>
    <row r="9" customFormat="false" ht="23.85" hidden="false" customHeight="false" outlineLevel="0" collapsed="false">
      <c r="A9" s="2" t="s">
        <v>9</v>
      </c>
      <c r="B9" s="2" t="s">
        <v>36</v>
      </c>
      <c r="C9" s="2" t="s">
        <v>37</v>
      </c>
      <c r="D9" s="2" t="s">
        <v>12</v>
      </c>
      <c r="E9" s="5" t="s">
        <v>18</v>
      </c>
      <c r="F9" s="4" t="n">
        <v>1</v>
      </c>
      <c r="G9" s="2" t="s">
        <v>38</v>
      </c>
      <c r="H9" s="2" t="s">
        <v>26</v>
      </c>
      <c r="I9" s="2"/>
    </row>
    <row r="10" customFormat="false" ht="23.85" hidden="false" customHeight="false" outlineLevel="0" collapsed="false">
      <c r="A10" s="2" t="s">
        <v>9</v>
      </c>
      <c r="B10" s="2" t="s">
        <v>39</v>
      </c>
      <c r="C10" s="2" t="s">
        <v>40</v>
      </c>
      <c r="D10" s="2" t="s">
        <v>12</v>
      </c>
      <c r="E10" s="3" t="s">
        <v>13</v>
      </c>
      <c r="F10" s="4" t="n">
        <v>4</v>
      </c>
      <c r="G10" s="2" t="s">
        <v>38</v>
      </c>
      <c r="H10" s="2" t="s">
        <v>41</v>
      </c>
      <c r="I10" s="2" t="s">
        <v>36</v>
      </c>
    </row>
    <row r="11" customFormat="false" ht="15" hidden="false" customHeight="false" outlineLevel="0" collapsed="false">
      <c r="A11" s="2" t="s">
        <v>9</v>
      </c>
      <c r="B11" s="2" t="s">
        <v>42</v>
      </c>
      <c r="C11" s="2" t="s">
        <v>43</v>
      </c>
      <c r="D11" s="2" t="s">
        <v>12</v>
      </c>
      <c r="E11" s="6" t="s">
        <v>44</v>
      </c>
      <c r="F11" s="4" t="n">
        <v>4</v>
      </c>
      <c r="G11" s="2" t="s">
        <v>45</v>
      </c>
      <c r="H11" s="2" t="s">
        <v>46</v>
      </c>
      <c r="I11" s="2" t="s">
        <v>39</v>
      </c>
    </row>
    <row r="12" customFormat="false" ht="23.85" hidden="false" customHeight="false" outlineLevel="0" collapsed="false">
      <c r="A12" s="2" t="s">
        <v>9</v>
      </c>
      <c r="B12" s="2" t="s">
        <v>47</v>
      </c>
      <c r="C12" s="2" t="s">
        <v>48</v>
      </c>
      <c r="D12" s="2" t="s">
        <v>12</v>
      </c>
      <c r="E12" s="3" t="s">
        <v>13</v>
      </c>
      <c r="F12" s="4" t="n">
        <v>4</v>
      </c>
      <c r="G12" s="2" t="s">
        <v>45</v>
      </c>
      <c r="H12" s="2" t="s">
        <v>49</v>
      </c>
      <c r="I12" s="2" t="s">
        <v>39</v>
      </c>
    </row>
    <row r="13" customFormat="false" ht="23.85" hidden="false" customHeight="false" outlineLevel="0" collapsed="false">
      <c r="A13" s="2" t="s">
        <v>50</v>
      </c>
      <c r="B13" s="2" t="s">
        <v>51</v>
      </c>
      <c r="C13" s="2" t="s">
        <v>52</v>
      </c>
      <c r="D13" s="2" t="s">
        <v>12</v>
      </c>
      <c r="E13" s="3" t="s">
        <v>13</v>
      </c>
      <c r="F13" s="4" t="n">
        <v>4</v>
      </c>
      <c r="G13" s="2" t="s">
        <v>53</v>
      </c>
      <c r="H13" s="2" t="s">
        <v>54</v>
      </c>
      <c r="I13" s="2"/>
    </row>
    <row r="14" customFormat="false" ht="23.85" hidden="false" customHeight="false" outlineLevel="0" collapsed="false">
      <c r="A14" s="2" t="s">
        <v>50</v>
      </c>
      <c r="B14" s="2" t="s">
        <v>55</v>
      </c>
      <c r="C14" s="2" t="s">
        <v>56</v>
      </c>
      <c r="D14" s="2" t="s">
        <v>12</v>
      </c>
      <c r="E14" s="3" t="s">
        <v>13</v>
      </c>
      <c r="F14" s="4" t="n">
        <v>5</v>
      </c>
      <c r="G14" s="2" t="s">
        <v>57</v>
      </c>
      <c r="H14" s="2" t="s">
        <v>58</v>
      </c>
      <c r="I14" s="2" t="s">
        <v>47</v>
      </c>
    </row>
    <row r="15" customFormat="false" ht="23.85" hidden="false" customHeight="false" outlineLevel="0" collapsed="false">
      <c r="A15" s="2" t="s">
        <v>50</v>
      </c>
      <c r="B15" s="2" t="s">
        <v>59</v>
      </c>
      <c r="C15" s="2" t="s">
        <v>60</v>
      </c>
      <c r="D15" s="2" t="s">
        <v>12</v>
      </c>
      <c r="E15" s="3" t="s">
        <v>13</v>
      </c>
      <c r="F15" s="4" t="n">
        <v>6</v>
      </c>
      <c r="G15" s="2" t="s">
        <v>61</v>
      </c>
      <c r="H15" s="2" t="s">
        <v>62</v>
      </c>
      <c r="I15" s="2" t="s">
        <v>20</v>
      </c>
    </row>
    <row r="16" customFormat="false" ht="23.85" hidden="false" customHeight="false" outlineLevel="0" collapsed="false">
      <c r="A16" s="2" t="s">
        <v>50</v>
      </c>
      <c r="B16" s="2" t="s">
        <v>63</v>
      </c>
      <c r="C16" s="2" t="s">
        <v>64</v>
      </c>
      <c r="D16" s="2" t="s">
        <v>12</v>
      </c>
      <c r="E16" s="6" t="s">
        <v>44</v>
      </c>
      <c r="F16" s="4" t="n">
        <v>2</v>
      </c>
      <c r="G16" s="2" t="s">
        <v>61</v>
      </c>
      <c r="H16" s="2" t="s">
        <v>62</v>
      </c>
      <c r="I16" s="2" t="s">
        <v>59</v>
      </c>
    </row>
    <row r="17" customFormat="false" ht="15" hidden="false" customHeight="false" outlineLevel="0" collapsed="false">
      <c r="A17" s="2" t="s">
        <v>50</v>
      </c>
      <c r="B17" s="2" t="s">
        <v>65</v>
      </c>
      <c r="C17" s="2" t="s">
        <v>66</v>
      </c>
      <c r="D17" s="2" t="s">
        <v>12</v>
      </c>
      <c r="E17" s="6" t="s">
        <v>44</v>
      </c>
      <c r="F17" s="4" t="n">
        <v>5</v>
      </c>
      <c r="G17" s="2" t="s">
        <v>67</v>
      </c>
      <c r="H17" s="2" t="s">
        <v>62</v>
      </c>
      <c r="I17" s="2" t="s">
        <v>59</v>
      </c>
    </row>
    <row r="18" customFormat="false" ht="23.85" hidden="false" customHeight="false" outlineLevel="0" collapsed="false">
      <c r="A18" s="2" t="s">
        <v>50</v>
      </c>
      <c r="B18" s="2" t="s">
        <v>68</v>
      </c>
      <c r="C18" s="2" t="s">
        <v>69</v>
      </c>
      <c r="D18" s="2" t="s">
        <v>12</v>
      </c>
      <c r="E18" s="3" t="s">
        <v>13</v>
      </c>
      <c r="F18" s="4" t="n">
        <v>4</v>
      </c>
      <c r="G18" s="2" t="s">
        <v>67</v>
      </c>
      <c r="H18" s="2" t="s">
        <v>70</v>
      </c>
      <c r="I18" s="2" t="s">
        <v>27</v>
      </c>
    </row>
    <row r="19" customFormat="false" ht="23.85" hidden="false" customHeight="false" outlineLevel="0" collapsed="false">
      <c r="A19" s="2" t="s">
        <v>50</v>
      </c>
      <c r="B19" s="2" t="s">
        <v>71</v>
      </c>
      <c r="C19" s="2" t="s">
        <v>72</v>
      </c>
      <c r="D19" s="2" t="s">
        <v>12</v>
      </c>
      <c r="E19" s="3" t="s">
        <v>13</v>
      </c>
      <c r="F19" s="4" t="n">
        <v>5</v>
      </c>
      <c r="G19" s="2" t="s">
        <v>73</v>
      </c>
      <c r="H19" s="2" t="s">
        <v>74</v>
      </c>
      <c r="I19" s="2" t="s">
        <v>47</v>
      </c>
    </row>
    <row r="20" customFormat="false" ht="23.85" hidden="false" customHeight="false" outlineLevel="0" collapsed="false">
      <c r="A20" s="2" t="s">
        <v>50</v>
      </c>
      <c r="B20" s="2" t="s">
        <v>75</v>
      </c>
      <c r="C20" s="2" t="s">
        <v>76</v>
      </c>
      <c r="D20" s="2" t="s">
        <v>12</v>
      </c>
      <c r="E20" s="3" t="s">
        <v>13</v>
      </c>
      <c r="F20" s="4" t="n">
        <v>4</v>
      </c>
      <c r="G20" s="2" t="s">
        <v>73</v>
      </c>
      <c r="H20" s="2" t="s">
        <v>77</v>
      </c>
      <c r="I20" s="2" t="s">
        <v>71</v>
      </c>
    </row>
    <row r="21" customFormat="false" ht="23.85" hidden="false" customHeight="false" outlineLevel="0" collapsed="false">
      <c r="A21" s="2" t="s">
        <v>78</v>
      </c>
      <c r="B21" s="2" t="s">
        <v>79</v>
      </c>
      <c r="C21" s="2" t="s">
        <v>80</v>
      </c>
      <c r="D21" s="2" t="s">
        <v>12</v>
      </c>
      <c r="E21" s="3" t="s">
        <v>13</v>
      </c>
      <c r="F21" s="4" t="n">
        <v>5</v>
      </c>
      <c r="G21" s="2" t="s">
        <v>81</v>
      </c>
      <c r="H21" s="2" t="s">
        <v>82</v>
      </c>
      <c r="I21" s="2" t="s">
        <v>55</v>
      </c>
    </row>
    <row r="22" customFormat="false" ht="15" hidden="false" customHeight="false" outlineLevel="0" collapsed="false">
      <c r="A22" s="2" t="s">
        <v>78</v>
      </c>
      <c r="B22" s="2" t="s">
        <v>83</v>
      </c>
      <c r="C22" s="2" t="s">
        <v>84</v>
      </c>
      <c r="D22" s="2" t="s">
        <v>12</v>
      </c>
      <c r="E22" s="3" t="s">
        <v>13</v>
      </c>
      <c r="F22" s="4" t="n">
        <v>4</v>
      </c>
      <c r="G22" s="2" t="s">
        <v>85</v>
      </c>
      <c r="H22" s="2" t="s">
        <v>86</v>
      </c>
      <c r="I22" s="2" t="s">
        <v>79</v>
      </c>
    </row>
    <row r="23" customFormat="false" ht="23.85" hidden="false" customHeight="false" outlineLevel="0" collapsed="false">
      <c r="A23" s="2" t="s">
        <v>78</v>
      </c>
      <c r="B23" s="2" t="s">
        <v>87</v>
      </c>
      <c r="C23" s="2" t="s">
        <v>88</v>
      </c>
      <c r="D23" s="2" t="s">
        <v>12</v>
      </c>
      <c r="E23" s="3" t="s">
        <v>13</v>
      </c>
      <c r="F23" s="4" t="n">
        <v>3</v>
      </c>
      <c r="G23" s="2" t="s">
        <v>85</v>
      </c>
      <c r="H23" s="2" t="s">
        <v>86</v>
      </c>
      <c r="I23" s="2" t="s">
        <v>79</v>
      </c>
    </row>
    <row r="24" customFormat="false" ht="15" hidden="false" customHeight="false" outlineLevel="0" collapsed="false">
      <c r="A24" s="2" t="s">
        <v>78</v>
      </c>
      <c r="B24" s="2" t="s">
        <v>89</v>
      </c>
      <c r="C24" s="2" t="s">
        <v>90</v>
      </c>
      <c r="D24" s="2" t="s">
        <v>12</v>
      </c>
      <c r="E24" s="6" t="s">
        <v>44</v>
      </c>
      <c r="F24" s="4" t="n">
        <v>4</v>
      </c>
      <c r="G24" s="2" t="s">
        <v>91</v>
      </c>
      <c r="H24" s="2" t="s">
        <v>86</v>
      </c>
      <c r="I24" s="2" t="s">
        <v>79</v>
      </c>
    </row>
    <row r="25" customFormat="false" ht="15" hidden="false" customHeight="false" outlineLevel="0" collapsed="false">
      <c r="A25" s="2" t="s">
        <v>78</v>
      </c>
      <c r="B25" s="2" t="s">
        <v>92</v>
      </c>
      <c r="C25" s="2" t="s">
        <v>93</v>
      </c>
      <c r="D25" s="2" t="s">
        <v>12</v>
      </c>
      <c r="E25" s="6" t="s">
        <v>44</v>
      </c>
      <c r="F25" s="4" t="n">
        <v>4</v>
      </c>
      <c r="G25" s="2" t="s">
        <v>91</v>
      </c>
      <c r="H25" s="2" t="s">
        <v>86</v>
      </c>
      <c r="I25" s="2" t="s">
        <v>71</v>
      </c>
    </row>
    <row r="26" customFormat="false" ht="23.85" hidden="false" customHeight="false" outlineLevel="0" collapsed="false">
      <c r="A26" s="2" t="s">
        <v>78</v>
      </c>
      <c r="B26" s="2" t="s">
        <v>94</v>
      </c>
      <c r="C26" s="2" t="s">
        <v>95</v>
      </c>
      <c r="D26" s="2" t="s">
        <v>12</v>
      </c>
      <c r="E26" s="6" t="s">
        <v>44</v>
      </c>
      <c r="F26" s="4" t="n">
        <v>4</v>
      </c>
      <c r="G26" s="2" t="s">
        <v>96</v>
      </c>
      <c r="H26" s="2" t="s">
        <v>97</v>
      </c>
      <c r="I26" s="2" t="s">
        <v>34</v>
      </c>
    </row>
    <row r="27" customFormat="false" ht="15" hidden="false" customHeight="false" outlineLevel="0" collapsed="false">
      <c r="A27" s="2" t="s">
        <v>78</v>
      </c>
      <c r="B27" s="2" t="s">
        <v>98</v>
      </c>
      <c r="C27" s="2" t="s">
        <v>99</v>
      </c>
      <c r="D27" s="2" t="s">
        <v>12</v>
      </c>
      <c r="E27" s="6" t="s">
        <v>44</v>
      </c>
      <c r="F27" s="4" t="n">
        <v>2</v>
      </c>
      <c r="G27" s="2" t="s">
        <v>96</v>
      </c>
      <c r="H27" s="2" t="s">
        <v>100</v>
      </c>
      <c r="I27" s="2"/>
    </row>
    <row r="28" customFormat="false" ht="23.85" hidden="false" customHeight="false" outlineLevel="0" collapsed="false">
      <c r="A28" s="2" t="s">
        <v>78</v>
      </c>
      <c r="B28" s="2" t="s">
        <v>101</v>
      </c>
      <c r="C28" s="2" t="s">
        <v>102</v>
      </c>
      <c r="D28" s="2" t="s">
        <v>12</v>
      </c>
      <c r="E28" s="5" t="s">
        <v>18</v>
      </c>
      <c r="F28" s="4" t="n">
        <v>4</v>
      </c>
      <c r="G28" s="2" t="s">
        <v>103</v>
      </c>
      <c r="H28" s="2" t="s">
        <v>104</v>
      </c>
      <c r="I28" s="2" t="s">
        <v>71</v>
      </c>
    </row>
    <row r="29" customFormat="false" ht="23.85" hidden="false" customHeight="false" outlineLevel="0" collapsed="false">
      <c r="A29" s="2" t="s">
        <v>78</v>
      </c>
      <c r="B29" s="2" t="s">
        <v>105</v>
      </c>
      <c r="C29" s="2" t="s">
        <v>106</v>
      </c>
      <c r="D29" s="2" t="s">
        <v>12</v>
      </c>
      <c r="E29" s="3" t="s">
        <v>13</v>
      </c>
      <c r="F29" s="4" t="n">
        <v>2</v>
      </c>
      <c r="G29" s="2" t="s">
        <v>103</v>
      </c>
      <c r="H29" s="2" t="s">
        <v>107</v>
      </c>
      <c r="I29" s="2" t="s">
        <v>71</v>
      </c>
    </row>
  </sheetData>
  <autoFilter ref="A1:I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7" t="s">
        <v>108</v>
      </c>
    </row>
    <row r="3" customFormat="false" ht="15" hidden="false" customHeight="false" outlineLevel="0" collapsed="false">
      <c r="A3" s="8" t="s">
        <v>0</v>
      </c>
      <c r="B3" s="8" t="s">
        <v>109</v>
      </c>
      <c r="C3" s="8" t="s">
        <v>110</v>
      </c>
    </row>
    <row r="4" customFormat="false" ht="15" hidden="false" customHeight="false" outlineLevel="0" collapsed="false">
      <c r="A4" s="9" t="s">
        <v>9</v>
      </c>
      <c r="B4" s="10" t="n">
        <f aca="false">COUNTIF('Plan detallado'!$A$2:$A$29,$A4)</f>
        <v>11</v>
      </c>
      <c r="C4" s="10" t="n">
        <f aca="false">SUMIF('Plan detallado'!$A$2:$A$29,$A4,'Plan detallado'!$F$2:$F$29)</f>
        <v>35</v>
      </c>
    </row>
    <row r="5" customFormat="false" ht="15" hidden="false" customHeight="false" outlineLevel="0" collapsed="false">
      <c r="A5" s="9" t="s">
        <v>50</v>
      </c>
      <c r="B5" s="10" t="n">
        <f aca="false">COUNTIF('Plan detallado'!$A$2:$A$29,$A5)</f>
        <v>8</v>
      </c>
      <c r="C5" s="10" t="n">
        <f aca="false">SUMIF('Plan detallado'!$A$2:$A$29,$A5,'Plan detallado'!$F$2:$F$29)</f>
        <v>35</v>
      </c>
    </row>
    <row r="6" customFormat="false" ht="15" hidden="false" customHeight="false" outlineLevel="0" collapsed="false">
      <c r="A6" s="9" t="s">
        <v>78</v>
      </c>
      <c r="B6" s="10" t="n">
        <f aca="false">COUNTIF('Plan detallado'!$A$2:$A$29,$A6)</f>
        <v>9</v>
      </c>
      <c r="C6" s="10" t="n">
        <f aca="false">SUMIF('Plan detallado'!$A$2:$A$29,$A6,'Plan detallado'!$F$2:$F$29)</f>
        <v>32</v>
      </c>
    </row>
    <row r="7" customFormat="false" ht="15" hidden="false" customHeight="false" outlineLevel="0" collapsed="false">
      <c r="A7" s="11" t="s">
        <v>111</v>
      </c>
      <c r="B7" s="12" t="n">
        <f aca="false">SUM(B4:B6)</f>
        <v>28</v>
      </c>
      <c r="C7" s="12" t="n">
        <f aca="false">SUM(C4:C6)</f>
        <v>102</v>
      </c>
    </row>
    <row r="9" customFormat="false" ht="15" hidden="false" customHeight="false" outlineLevel="0" collapsed="false">
      <c r="A9" s="13" t="s">
        <v>112</v>
      </c>
    </row>
    <row r="10" customFormat="false" ht="15" hidden="false" customHeight="false" outlineLevel="0" collapsed="false">
      <c r="A10" s="8"/>
      <c r="B10" s="8"/>
      <c r="C10" s="8"/>
    </row>
    <row r="11" customFormat="false" ht="15" hidden="false" customHeight="false" outlineLevel="0" collapsed="false">
      <c r="A11" s="14" t="s">
        <v>18</v>
      </c>
      <c r="B11" s="10" t="n">
        <f aca="false">COUNTIF('Plan detallado'!$E$2:$E$29,$A11)</f>
        <v>6</v>
      </c>
      <c r="C11" s="10" t="n">
        <f aca="false">SUMIF('Plan detallado'!$E$2:$E$29,$A11,'Plan detallado'!$F$2:$F$29)</f>
        <v>17</v>
      </c>
    </row>
    <row r="12" customFormat="false" ht="15" hidden="false" customHeight="false" outlineLevel="0" collapsed="false">
      <c r="A12" s="15" t="s">
        <v>13</v>
      </c>
      <c r="B12" s="10" t="n">
        <f aca="false">COUNTIF('Plan detallado'!$E$2:$E$29,$A12)</f>
        <v>15</v>
      </c>
      <c r="C12" s="10" t="n">
        <f aca="false">SUMIF('Plan detallado'!$E$2:$E$29,$A12,'Plan detallado'!$F$2:$F$29)</f>
        <v>60</v>
      </c>
    </row>
    <row r="13" customFormat="false" ht="15" hidden="false" customHeight="false" outlineLevel="0" collapsed="false">
      <c r="A13" s="16" t="s">
        <v>44</v>
      </c>
      <c r="B13" s="10" t="n">
        <f aca="false">COUNTIF('Plan detallado'!$E$2:$E$29,$A13)</f>
        <v>7</v>
      </c>
      <c r="C13" s="10" t="n">
        <f aca="false">SUMIF('Plan detallado'!$E$2:$E$29,$A13,'Plan detallado'!$F$2:$F$29)</f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2026-06-17T04:26:50Z</dcterms:created>
  <dc:creator>openpyxl</dc:creator>
  <dc:description/>
  <dc:language>en-US</dc:language>
  <cp:lastModifiedBy/>
  <dcterms:modified xsi:type="dcterms:W3CDTF">2026-06-17T04:26:50Z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